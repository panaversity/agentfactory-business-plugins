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Calculations" sheetId="2" state="visible" r:id="rId2"/>
    <sheet name="Output" sheetId="3" state="visible" r:id="rId3"/>
  </sheets>
  <definedNames>
    <definedName name="Inp_Rev_Y1">'Assumptions'!$B$2</definedName>
    <definedName name="Inp_Rev_Growth">'Assumptions'!$B$3</definedName>
    <definedName name="Inp_COGS_Pct_Y1">'Assumptions'!$B$4</definedName>
    <definedName name="Inp_COGS_Efficiency">'Assumptions'!$B$5</definedName>
    <definedName name="Revenue_Y1">'Calculations'!$B$2</definedName>
    <definedName name="Revenue_Y2">'Calculations'!$B$3</definedName>
    <definedName name="Revenue_Y3">'Calculations'!$B$4</definedName>
    <definedName name="COGS_Pct_Y1">'Calculations'!$B$5</definedName>
    <definedName name="COGS_Pct_Y2">'Calculations'!$B$6</definedName>
    <definedName name="COGS_Pct_Y3">'Calculations'!$B$7</definedName>
    <definedName name="COGS_Y1">'Calculations'!$B$8</definedName>
    <definedName name="COGS_Y2">'Calculations'!$B$9</definedName>
    <definedName name="COGS_Y3">'Calculations'!$B$10</definedName>
    <definedName name="Gross_Profit_Y1">'Calculations'!$B$11</definedName>
    <definedName name="Gross_Profit_Y2">'Calculations'!$B$12</definedName>
    <definedName name="Gross_Profit_Y3">'Calculations'!$B$13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IDFA Generator</author>
  </authors>
  <commentList>
    <comment ref="B2" authorId="0" shapeId="0">
      <text>
        <t>INTENT: Base year revenue
GENERATED: fixture</t>
      </text>
    </comment>
    <comment ref="B3" authorId="0" shapeId="0">
      <text>
        <t>INTENT: Annual revenue growth rate
GENERATED: fixture</t>
      </text>
    </comment>
    <comment ref="B4" authorId="0" shapeId="0">
      <text>
        <t>INTENT: Year 1 COGS as percentage of revenue
GENERATED: fixture</t>
      </text>
    </comment>
    <comment ref="B5" authorId="0" shapeId="0">
      <text>
        <t>INTENT: Annual COGS efficiency improvement
GENERATED: fixture</t>
      </text>
    </comment>
  </commentList>
</comments>
</file>

<file path=xl/comments/comment2.xml><?xml version="1.0" encoding="utf-8"?>
<comments xmlns="http://schemas.openxmlformats.org/spreadsheetml/2006/main">
  <authors>
    <author>IDFA Generator</author>
  </authors>
  <commentList>
    <comment ref="B2" authorId="0" shapeId="0">
      <text>
        <t>INTENT: Year 1 revenue equals the input assumption
FORMULA: R_1 = Inp
ASSUMPTIONS: Inp_Rev_Y1</t>
      </text>
    </comment>
    <comment ref="B3" authorId="0" shapeId="0">
      <text>
        <t>INTENT: Year 2 revenue = prior year * (1 + growth)
FORMULA: R_2 = R_1 * (1+g)
ASSUMPTIONS: Revenue_Y1, Inp_Rev_Growth</t>
      </text>
    </comment>
    <comment ref="B4" authorId="0" shapeId="0">
      <text>
        <t>INTENT: Year 3 revenue = prior year * (1 + growth)
FORMULA: R_3 = R_2 * (1+g)
ASSUMPTIONS: Revenue_Y2, Inp_Rev_Growth</t>
      </text>
    </comment>
    <comment ref="B5" authorId="0" shapeId="0">
      <text>
        <t>INTENT: Year 1 COGS % equals the input assumption
ASSUMPTIONS: Inp_COGS_Pct_Y1</t>
      </text>
    </comment>
    <comment ref="B6" authorId="0" shapeId="0">
      <text>
        <t>INTENT: Year 2 COGS % = prior year - efficiency gain
FORMULA: COGS%_2 = COGS%_1 - e
ASSUMPTIONS: COGS_Pct_Y1, Inp_COGS_Efficiency</t>
      </text>
    </comment>
    <comment ref="B7" authorId="0" shapeId="0">
      <text>
        <t>INTENT: Year 3 COGS % = prior year - efficiency gain
FORMULA: COGS%_3 = COGS%_2 - e
ASSUMPTIONS: COGS_Pct_Y2, Inp_COGS_Efficiency</t>
      </text>
    </comment>
    <comment ref="B8" authorId="0" shapeId="0">
      <text>
        <t>INTENT: Year 1 COGS = revenue * COGS %
FORMULA: COGS_1 = R_1 * COGS%_1
ASSUMPTIONS: Revenue_Y1, COGS_Pct_Y1</t>
      </text>
    </comment>
    <comment ref="B9" authorId="0" shapeId="0">
      <text>
        <t>INTENT: Year 2 COGS = revenue * COGS %
FORMULA: COGS_2 = R_2 * COGS%_2
ASSUMPTIONS: Revenue_Y2, COGS_Pct_Y2</t>
      </text>
    </comment>
    <comment ref="B10" authorId="0" shapeId="0">
      <text>
        <t>INTENT: Year 3 COGS = revenue * COGS %
FORMULA: COGS_3 = R_3 * COGS%_3
ASSUMPTIONS: Revenue_Y3, COGS_Pct_Y3</t>
      </text>
    </comment>
    <comment ref="B11" authorId="0" shapeId="0">
      <text>
        <t>INTENT: Year 1 Gross Profit = revenue - COGS
FORMULA: GP_1 = R_1 - COGS_1
ASSUMPTIONS: Revenue_Y1, COGS_Y1</t>
      </text>
    </comment>
    <comment ref="B12" authorId="0" shapeId="0">
      <text>
        <t>INTENT: Year 2 Gross Profit = revenue - COGS
FORMULA: GP_2 = R_2 - COGS_2
ASSUMPTIONS: Revenue_Y2, COGS_Y2</t>
      </text>
    </comment>
    <comment ref="B13" authorId="0" shapeId="0">
      <text>
        <t>INTENT: Year 3 Gross Profit = revenue - COGS
FORMULA: GP_3 = R_3 - COGS_3
ASSUMPTIONS: Revenue_Y3, COGS_Y3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</t>
        </is>
      </c>
      <c r="B1" t="inlineStr">
        <is>
          <t>Value</t>
        </is>
      </c>
    </row>
    <row r="2">
      <c r="A2" t="inlineStr">
        <is>
          <t>Year 1 Revenue</t>
        </is>
      </c>
      <c r="B2" t="n">
        <v>10000000</v>
      </c>
    </row>
    <row r="3">
      <c r="A3" t="inlineStr">
        <is>
          <t>Revenue Growth Rate</t>
        </is>
      </c>
      <c r="B3" t="n">
        <v>0.1</v>
      </c>
    </row>
    <row r="4">
      <c r="A4" t="inlineStr">
        <is>
          <t>Year 1 COGS %</t>
        </is>
      </c>
      <c r="B4" t="n">
        <v>0.6</v>
      </c>
    </row>
    <row r="5">
      <c r="A5" t="inlineStr">
        <is>
          <t>Annual COGS Efficiency Gain</t>
        </is>
      </c>
      <c r="B5" t="n">
        <v>0.01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Formula</t>
        </is>
      </c>
    </row>
    <row r="2">
      <c r="A2" t="inlineStr">
        <is>
          <t>Revenue_Y1</t>
        </is>
      </c>
      <c r="B2">
        <f>Inp_Rev_Y1</f>
        <v/>
      </c>
    </row>
    <row r="3">
      <c r="A3" t="inlineStr">
        <is>
          <t>Revenue_Y2</t>
        </is>
      </c>
      <c r="B3">
        <f>Revenue_Y1*(1+Inp_Rev_Growth)</f>
        <v/>
      </c>
    </row>
    <row r="4">
      <c r="A4" t="inlineStr">
        <is>
          <t>Revenue_Y3</t>
        </is>
      </c>
      <c r="B4">
        <f>Revenue_Y2*(1+Inp_Rev_Growth)</f>
        <v/>
      </c>
    </row>
    <row r="5">
      <c r="A5" t="inlineStr">
        <is>
          <t>COGS_Pct_Y1</t>
        </is>
      </c>
      <c r="B5">
        <f>Inp_COGS_Pct_Y1</f>
        <v/>
      </c>
    </row>
    <row r="6">
      <c r="A6" t="inlineStr">
        <is>
          <t>COGS_Pct_Y2</t>
        </is>
      </c>
      <c r="B6">
        <f>COGS_Pct_Y1-Inp_COGS_Efficiency</f>
        <v/>
      </c>
    </row>
    <row r="7">
      <c r="A7" t="inlineStr">
        <is>
          <t>COGS_Pct_Y3</t>
        </is>
      </c>
      <c r="B7">
        <f>COGS_Pct_Y2-Inp_COGS_Efficiency</f>
        <v/>
      </c>
    </row>
    <row r="8">
      <c r="A8" t="inlineStr">
        <is>
          <t>COGS_Y1</t>
        </is>
      </c>
      <c r="B8">
        <f>Revenue_Y1*COGS_Pct_Y1</f>
        <v/>
      </c>
    </row>
    <row r="9">
      <c r="A9" t="inlineStr">
        <is>
          <t>COGS_Y2</t>
        </is>
      </c>
      <c r="B9">
        <f>Revenue_Y2*COGS_Pct_Y2</f>
        <v/>
      </c>
    </row>
    <row r="10">
      <c r="A10" t="inlineStr">
        <is>
          <t>COGS_Y3</t>
        </is>
      </c>
      <c r="B10">
        <f>Revenue_Y3*COGS_Pct_Y3</f>
        <v/>
      </c>
    </row>
    <row r="11">
      <c r="A11" t="inlineStr">
        <is>
          <t>Gross_Profit_Y1</t>
        </is>
      </c>
      <c r="B11">
        <f>Revenue_Y1-COGS_Y1</f>
        <v/>
      </c>
    </row>
    <row r="12">
      <c r="A12" t="inlineStr">
        <is>
          <t>Gross_Profit_Y2</t>
        </is>
      </c>
      <c r="B12">
        <f>Revenue_Y2-COGS_Y2</f>
        <v/>
      </c>
    </row>
    <row r="13">
      <c r="A13" t="inlineStr">
        <is>
          <t>Gross_Profit_Y3</t>
        </is>
      </c>
      <c r="B13">
        <f>Revenue_Y3-COGS_Y3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Year 1</t>
        </is>
      </c>
      <c r="C1" t="inlineStr">
        <is>
          <t>Year 2</t>
        </is>
      </c>
      <c r="D1" t="inlineStr">
        <is>
          <t>Year 3</t>
        </is>
      </c>
    </row>
    <row r="2">
      <c r="A2" t="inlineStr">
        <is>
          <t>Revenue</t>
        </is>
      </c>
      <c r="B2">
        <f>Revenue_Y1</f>
        <v/>
      </c>
      <c r="C2">
        <f>Revenue_Y2</f>
        <v/>
      </c>
      <c r="D2">
        <f>Revenue_Y3</f>
        <v/>
      </c>
    </row>
    <row r="3">
      <c r="A3" t="inlineStr">
        <is>
          <t>COGS</t>
        </is>
      </c>
      <c r="B3">
        <f>COGS_Y1</f>
        <v/>
      </c>
      <c r="C3">
        <f>COGS_Y2</f>
        <v/>
      </c>
      <c r="D3">
        <f>COGS_Y3</f>
        <v/>
      </c>
    </row>
    <row r="4">
      <c r="A4" t="inlineStr">
        <is>
          <t>Gross Profit</t>
        </is>
      </c>
      <c r="B4">
        <f>Gross_Profit_Y1</f>
        <v/>
      </c>
      <c r="C4">
        <f>Gross_Profit_Y2</f>
        <v/>
      </c>
      <c r="D4">
        <f>Gross_Profit_Y3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2026-03-05T06:13:33Z</dcterms:created>
  <dcterms:modified xsi:type="dcterms:W3CDTF">2026-03-05T06:13:33Z</dcterms:modified>
</cp:coreProperties>
</file>